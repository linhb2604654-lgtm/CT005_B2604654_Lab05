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19C768B7-D4F8-4285-9707-FBBA33EB014F}" xr6:coauthVersionLast="47" xr6:coauthVersionMax="47" xr10:uidLastSave="{00000000-0000-0000-0000-000000000000}"/>
  <bookViews>
    <workbookView xWindow="-108" yWindow="-108" windowWidth="23256" windowHeight="13176" firstSheet="2" activeTab="4" xr2:uid="{C6377BBF-607D-4A84-8539-0A7C9B9267FD}"/>
  </bookViews>
  <sheets>
    <sheet name="tonghopdiem" sheetId="1" r:id="rId1"/>
    <sheet name="diemthuchanh" sheetId="2" r:id="rId2"/>
    <sheet name="diembaitaplon" sheetId="3" r:id="rId3"/>
    <sheet name="diemlythuyet" sheetId="4" r:id="rId4"/>
    <sheet name="bangthamchieu&amp;thongke" sheetId="5" r:id="rId5"/>
    <sheet name="Sinh Viên điểm &lt;7" sheetId="6" r:id="rId6"/>
    <sheet name="Sinh Viên điểm &gt;=7" sheetId="7" r:id="rId7"/>
  </sheets>
  <definedNames>
    <definedName name="_xlnm._FilterDatabase" localSheetId="0" hidden="1">tonghopdiem!$A$6:$K$20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6" i="5" l="1"/>
  <c r="F24" i="5"/>
  <c r="F15" i="5"/>
  <c r="F16" i="5"/>
  <c r="F17" i="5"/>
  <c r="F18" i="5"/>
  <c r="F19" i="5"/>
  <c r="F20" i="5"/>
  <c r="F21" i="5"/>
  <c r="F14" i="5"/>
  <c r="H8" i="1"/>
  <c r="H9" i="1"/>
  <c r="H10" i="1"/>
  <c r="H11" i="1"/>
  <c r="H12" i="1"/>
  <c r="H13" i="1"/>
  <c r="H14" i="1"/>
  <c r="H15" i="1"/>
  <c r="H16" i="1"/>
  <c r="H17" i="1"/>
  <c r="I17" i="1" s="1"/>
  <c r="H18" i="1"/>
  <c r="H19" i="1"/>
  <c r="I19" i="1" s="1"/>
  <c r="H20" i="1"/>
  <c r="H7" i="1"/>
  <c r="G8" i="1"/>
  <c r="G9" i="1"/>
  <c r="G10" i="1"/>
  <c r="G11" i="1"/>
  <c r="G12" i="1"/>
  <c r="G13" i="1"/>
  <c r="G14" i="1"/>
  <c r="J14" i="1" s="1"/>
  <c r="K14" i="1" s="1"/>
  <c r="G15" i="1"/>
  <c r="G16" i="1"/>
  <c r="G17" i="1"/>
  <c r="J17" i="1" s="1"/>
  <c r="K17" i="1" s="1"/>
  <c r="G18" i="1"/>
  <c r="G19" i="1"/>
  <c r="J19" i="1" s="1"/>
  <c r="K19" i="1" s="1"/>
  <c r="G20" i="1"/>
  <c r="G7" i="1"/>
  <c r="F8" i="1"/>
  <c r="F9" i="1"/>
  <c r="F10" i="1"/>
  <c r="F11" i="1"/>
  <c r="F12" i="1"/>
  <c r="F13" i="1"/>
  <c r="F14" i="1"/>
  <c r="I14" i="1" s="1"/>
  <c r="F15" i="1"/>
  <c r="F16" i="1"/>
  <c r="F17" i="1"/>
  <c r="F18" i="1"/>
  <c r="F19" i="1"/>
  <c r="F20" i="1"/>
  <c r="F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7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7" i="1"/>
  <c r="A14" i="5" a="1"/>
  <c r="A14" i="5" s="1"/>
  <c r="A3" i="4" a="1"/>
  <c r="A3" i="4" s="1"/>
  <c r="A3" i="3" a="1"/>
  <c r="A3" i="3" s="1"/>
  <c r="A3" i="2" a="1"/>
  <c r="A3" i="2" s="1"/>
  <c r="A7" i="1" a="1"/>
  <c r="A7" i="1" s="1"/>
  <c r="I10" i="1" l="1"/>
  <c r="I20" i="1"/>
  <c r="I7" i="1"/>
  <c r="J7" i="1" s="1"/>
  <c r="K7" i="1" s="1"/>
  <c r="I13" i="1"/>
  <c r="J13" i="1" s="1"/>
  <c r="K13" i="1" s="1"/>
  <c r="I12" i="1"/>
  <c r="J12" i="1" s="1"/>
  <c r="K12" i="1" s="1"/>
  <c r="J20" i="1"/>
  <c r="K20" i="1" s="1"/>
  <c r="I9" i="1"/>
  <c r="I11" i="1"/>
  <c r="I18" i="1"/>
  <c r="J11" i="1"/>
  <c r="K11" i="1" s="1"/>
  <c r="I8" i="1"/>
  <c r="J8" i="1" s="1"/>
  <c r="K8" i="1" s="1"/>
  <c r="I16" i="1"/>
  <c r="J16" i="1" s="1"/>
  <c r="K16" i="1" s="1"/>
  <c r="J10" i="1"/>
  <c r="K10" i="1" s="1"/>
  <c r="I15" i="1"/>
  <c r="J9" i="1"/>
  <c r="K9" i="1" s="1"/>
  <c r="J18" i="1"/>
  <c r="K18" i="1" s="1"/>
  <c r="J15" i="1"/>
  <c r="K15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<sst xmlns="http://schemas.openxmlformats.org/spreadsheetml/2006/main" count="256" uniqueCount="109">
  <si>
    <t xml:space="preserve">Ma CB </t>
  </si>
  <si>
    <t xml:space="preserve">Ma MH </t>
  </si>
  <si>
    <t>Nam Hoc</t>
  </si>
  <si>
    <t>CT428</t>
  </si>
  <si>
    <t>2020-2021</t>
  </si>
  <si>
    <t xml:space="preserve">Ho va ten </t>
  </si>
  <si>
    <t>Ma NH</t>
  </si>
  <si>
    <t xml:space="preserve">Hoc Ky </t>
  </si>
  <si>
    <t>STT</t>
  </si>
  <si>
    <t>Mã SV</t>
  </si>
  <si>
    <t xml:space="preserve">Họ Và Tên </t>
  </si>
  <si>
    <t>Điểm 
TH1</t>
  </si>
  <si>
    <t>Điểm 
TH2</t>
  </si>
  <si>
    <t>Điểm 
TH3</t>
  </si>
  <si>
    <t>Điểm 
BT
Lớn</t>
  </si>
  <si>
    <t>Điểm 
LT</t>
  </si>
  <si>
    <t xml:space="preserve">Điểm 
Tổng </t>
  </si>
  <si>
    <t>Điểm 
theo 
thang 
điểm 
10</t>
  </si>
  <si>
    <t>Điểm 
chữ</t>
  </si>
  <si>
    <t>0B1505719</t>
  </si>
  <si>
    <t>1B1505915</t>
  </si>
  <si>
    <t>0B1509929</t>
  </si>
  <si>
    <t>0B1605235</t>
  </si>
  <si>
    <t>0B1605249</t>
  </si>
  <si>
    <t>0B1605285</t>
  </si>
  <si>
    <t>0B1605291</t>
  </si>
  <si>
    <t>1B1605344</t>
  </si>
  <si>
    <t>4B1607025</t>
  </si>
  <si>
    <t>2B1609759</t>
  </si>
  <si>
    <t>5B1609765</t>
  </si>
  <si>
    <t>0B1609773</t>
  </si>
  <si>
    <t>2B1605223</t>
  </si>
  <si>
    <t>ĐIỂM THI HK1-2018-2019 (CT428)</t>
  </si>
  <si>
    <t>Nguyen  Minh  Trung</t>
  </si>
  <si>
    <t xml:space="preserve">Điểm Thực Hành Các Buổi </t>
  </si>
  <si>
    <t>Họ Và Tên</t>
  </si>
  <si>
    <t>Điểm TH1</t>
  </si>
  <si>
    <t>Điểm TH2</t>
  </si>
  <si>
    <t>Điểm TH3</t>
  </si>
  <si>
    <t>B1505719</t>
  </si>
  <si>
    <t>B1505915</t>
  </si>
  <si>
    <t>B1509874</t>
  </si>
  <si>
    <t>B1509929</t>
  </si>
  <si>
    <t>B1605223</t>
  </si>
  <si>
    <t>B1605235</t>
  </si>
  <si>
    <t>B1605249</t>
  </si>
  <si>
    <t>B1605285</t>
  </si>
  <si>
    <t>B1605291</t>
  </si>
  <si>
    <t>B1605344</t>
  </si>
  <si>
    <t>B1607025</t>
  </si>
  <si>
    <t>B1609759</t>
  </si>
  <si>
    <t>B1609765</t>
  </si>
  <si>
    <t>B1609773</t>
  </si>
  <si>
    <t>Nguyễn Văn Hiếu</t>
  </si>
  <si>
    <t xml:space="preserve">Lý Minh Trí </t>
  </si>
  <si>
    <t xml:space="preserve">Nguyễn Kiều Mi </t>
  </si>
  <si>
    <t xml:space="preserve">Đặng Duy Linh </t>
  </si>
  <si>
    <t xml:space="preserve">Lê Thị Trúc Linh </t>
  </si>
  <si>
    <t xml:space="preserve">Phạm Thị Huỳnh </t>
  </si>
  <si>
    <t>Lê Minh Thông</t>
  </si>
  <si>
    <t xml:space="preserve">Huỳnh Thị Diễm </t>
  </si>
  <si>
    <t>Trần Thanh Nguyên</t>
  </si>
  <si>
    <t xml:space="preserve">Nguyễn Thị Đào </t>
  </si>
  <si>
    <t xml:space="preserve">Nguyễn Chí Thanh </t>
  </si>
  <si>
    <t xml:space="preserve">Nguyễn  Hải Anh </t>
  </si>
  <si>
    <t>Trần Nam Dương</t>
  </si>
  <si>
    <t>Nguyễn Duy Khanh</t>
  </si>
  <si>
    <t>Điểm Bài Tập Lớn</t>
  </si>
  <si>
    <t xml:space="preserve">Điểm BL Lớn </t>
  </si>
  <si>
    <t xml:space="preserve">Nguyễn Văn Hiếu </t>
  </si>
  <si>
    <t>Đặng Duy Linh</t>
  </si>
  <si>
    <t>Phạm Thị Huỳnh</t>
  </si>
  <si>
    <t>Huỳnh Thị Diễm</t>
  </si>
  <si>
    <t xml:space="preserve">Trần Thanh Nguyên </t>
  </si>
  <si>
    <t>Nguyễn Thị Đào</t>
  </si>
  <si>
    <t>Nguyễn Hải Anh</t>
  </si>
  <si>
    <t xml:space="preserve">Trần Nam Dương  </t>
  </si>
  <si>
    <t xml:space="preserve">Nguyễn Duy Khanh </t>
  </si>
  <si>
    <t>Điểm Lý Thuyết</t>
  </si>
  <si>
    <t>Nguyễn Phước Hiếu</t>
  </si>
  <si>
    <t>Nguyễn Kiều Mi</t>
  </si>
  <si>
    <t xml:space="preserve">Nguyễn Hải Anh </t>
  </si>
  <si>
    <t xml:space="preserve">Bảng Quy Đổi Điểm </t>
  </si>
  <si>
    <t>Điểm theo thang điểm 10</t>
  </si>
  <si>
    <t xml:space="preserve">Điễm chữ </t>
  </si>
  <si>
    <t>Điểm theo thang điểm 4</t>
  </si>
  <si>
    <t xml:space="preserve">Bảng Điểm Chuyên Cần </t>
  </si>
  <si>
    <t>Số buổi vắng</t>
  </si>
  <si>
    <t>Điểm CT</t>
  </si>
  <si>
    <t>F</t>
  </si>
  <si>
    <t>D</t>
  </si>
  <si>
    <t>D+</t>
  </si>
  <si>
    <t>C</t>
  </si>
  <si>
    <t>C+</t>
  </si>
  <si>
    <t>B</t>
  </si>
  <si>
    <t>B+</t>
  </si>
  <si>
    <t>A</t>
  </si>
  <si>
    <t xml:space="preserve">Danh sách Sinh Viên </t>
  </si>
  <si>
    <t xml:space="preserve">Họ và Tên </t>
  </si>
  <si>
    <t>Lê Thị Trúc Linh</t>
  </si>
  <si>
    <t>Lý Minh Trí</t>
  </si>
  <si>
    <t xml:space="preserve">Bảng thống kê theo điểm chữ </t>
  </si>
  <si>
    <t xml:space="preserve">Điểm Chữ </t>
  </si>
  <si>
    <t>Số lượng sinh viên</t>
  </si>
  <si>
    <t>Bảng thống kê SV</t>
  </si>
  <si>
    <t>Số SV nghỉ TH &gt; 2</t>
  </si>
  <si>
    <t>0B1509874</t>
  </si>
  <si>
    <t>e</t>
  </si>
  <si>
    <t>Số sinh viên điểm BT lớn = 0 hoặc điểm LT = 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</si>
</sst>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6"/>
      <color theme="1"/>
      <name val="Times New Roman"/>
      <family val="1"/>
    </font>
    <font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6"/>
      <color theme="1"/>
      <name val="Ti'mes New Roman"/>
    </font>
    <font>
      <sz val="16"/>
      <color theme="1"/>
      <name val="Ti'mes New Roman"/>
    </font>
    <font>
      <b/>
      <sz val="12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4"/>
      <color theme="1"/>
      <name val="Times New Roman"/>
      <family val="1"/>
    </font>
    <font>
      <sz val="12"/>
      <color theme="1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3" borderId="1" xfId="0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4" fillId="4" borderId="1" xfId="0" applyFont="1" applyFill="1" applyBorder="1"/>
    <xf numFmtId="0" fontId="4" fillId="5" borderId="1" xfId="0" applyFont="1" applyFill="1" applyBorder="1" applyAlignment="1">
      <alignment horizontal="center"/>
    </xf>
    <xf numFmtId="0" fontId="0" fillId="6" borderId="0" xfId="0" applyFill="1"/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4" fillId="7" borderId="1" xfId="0" applyFont="1" applyFill="1" applyBorder="1" applyAlignment="1">
      <alignment horizontal="center"/>
    </xf>
    <xf numFmtId="0" fontId="9" fillId="0" borderId="1" xfId="0" applyFont="1" applyBorder="1"/>
    <xf numFmtId="0" fontId="10" fillId="0" borderId="1" xfId="0" applyFont="1" applyBorder="1"/>
    <xf numFmtId="0" fontId="11" fillId="0" borderId="1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8" borderId="1" xfId="0" applyFont="1" applyFill="1" applyBorder="1" applyAlignment="1">
      <alignment horizontal="center"/>
    </xf>
    <xf numFmtId="0" fontId="10" fillId="8" borderId="1" xfId="0" applyFont="1" applyFill="1" applyBorder="1"/>
    <xf numFmtId="0" fontId="11" fillId="9" borderId="4" xfId="0" applyFont="1" applyFill="1" applyBorder="1" applyAlignment="1">
      <alignment horizontal="center" vertical="center"/>
    </xf>
    <xf numFmtId="0" fontId="11" fillId="9" borderId="5" xfId="0" applyFont="1" applyFill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3" fillId="8" borderId="1" xfId="0" applyFont="1" applyFill="1" applyBorder="1" applyAlignment="1">
      <alignment horizontal="center"/>
    </xf>
    <xf numFmtId="43" fontId="3" fillId="8" borderId="1" xfId="1" applyFont="1" applyFill="1" applyBorder="1" applyAlignment="1">
      <alignment horizontal="center"/>
    </xf>
    <xf numFmtId="0" fontId="3" fillId="8" borderId="2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10" fillId="8" borderId="2" xfId="0" applyFont="1" applyFill="1" applyBorder="1" applyAlignment="1">
      <alignment horizontal="center"/>
    </xf>
    <xf numFmtId="0" fontId="10" fillId="8" borderId="3" xfId="0" applyFont="1" applyFill="1" applyBorder="1" applyAlignment="1">
      <alignment horizontal="center"/>
    </xf>
    <xf numFmtId="0" fontId="11" fillId="9" borderId="4" xfId="0" applyFont="1" applyFill="1" applyBorder="1" applyAlignment="1">
      <alignment horizontal="center" vertical="top" wrapText="1"/>
    </xf>
    <xf numFmtId="0" fontId="11" fillId="9" borderId="5" xfId="0" applyFont="1" applyFill="1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/>
              <a:t>Thống kê sinh viên theo điểm</a:t>
            </a:r>
            <a:r>
              <a:rPr lang="en-US"/>
              <a:t> </a:t>
            </a:r>
            <a:r>
              <a:rPr lang="vi-VN"/>
              <a:t>chữ</a:t>
            </a:r>
          </a:p>
        </c:rich>
      </c:tx>
      <c:layout>
        <c:manualLayout>
          <c:xMode val="edge"/>
          <c:yMode val="edge"/>
          <c:x val="0.23214426910025368"/>
          <c:y val="4.93567329507540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5833415697514802E-2"/>
          <c:y val="0.32113795097646691"/>
          <c:w val="0.3383024934383202"/>
          <c:h val="0.56383748906386699"/>
        </c:manualLayout>
      </c:layout>
      <c:pieChart>
        <c:varyColors val="1"/>
        <c:ser>
          <c:idx val="0"/>
          <c:order val="0"/>
          <c:tx>
            <c:strRef>
              <c:f>'bangthamchieu&amp;thongke'!$F$13</c:f>
              <c:strCache>
                <c:ptCount val="1"/>
                <c:pt idx="0">
                  <c:v>Số lượng sinh viên</c:v>
                </c:pt>
              </c:strCache>
            </c:strRef>
          </c:tx>
          <c:explosion val="14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095-4105-AB5F-5F353DA3138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F095-4105-AB5F-5F353DA3138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F095-4105-AB5F-5F353DA3138B}"/>
              </c:ext>
            </c:extLst>
          </c:dPt>
          <c:dPt>
            <c:idx val="5"/>
            <c:bubble3D val="0"/>
            <c:explosion val="1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095-4105-AB5F-5F353DA3138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F095-4105-AB5F-5F353DA3138B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'bangthamchieu&amp;thongke'!$E$14:$E$21</c:f>
              <c:strCache>
                <c:ptCount val="8"/>
                <c:pt idx="0">
                  <c:v>A</c:v>
                </c:pt>
                <c:pt idx="1">
                  <c:v>B+</c:v>
                </c:pt>
                <c:pt idx="2">
                  <c:v>B</c:v>
                </c:pt>
                <c:pt idx="3">
                  <c:v>C+</c:v>
                </c:pt>
                <c:pt idx="4">
                  <c:v>C</c:v>
                </c:pt>
                <c:pt idx="5">
                  <c:v>D+</c:v>
                </c:pt>
                <c:pt idx="6">
                  <c:v>D</c:v>
                </c:pt>
                <c:pt idx="7">
                  <c:v>F</c:v>
                </c:pt>
              </c:strCache>
            </c:strRef>
          </c:cat>
          <c:val>
            <c:numRef>
              <c:f>'bangthamchieu&amp;thongke'!$F$14:$F$21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5</c:v>
                </c:pt>
                <c:pt idx="5">
                  <c:v>1</c:v>
                </c:pt>
                <c:pt idx="6">
                  <c:v>0</c:v>
                </c:pt>
                <c:pt idx="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95-4105-AB5F-5F353DA313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8940192622365721"/>
          <c:y val="0.84251345700431512"/>
          <c:w val="0.56289740717556747"/>
          <c:h val="9.53396503403176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182880</xdr:colOff>
      <xdr:row>10</xdr:row>
      <xdr:rowOff>99060</xdr:rowOff>
    </xdr:from>
    <xdr:to>
      <xdr:col>12</xdr:col>
      <xdr:colOff>167640</xdr:colOff>
      <xdr:row>21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8575C9-EC59-962D-DF69-19DC13746D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F1198-8330-4937-987A-D6A765D8D9A6}">
  <dimension ref="A1:K20"/>
  <sheetViews>
    <sheetView workbookViewId="0">
      <selection activeCell="D7" sqref="D7"/>
    </sheetView>
  </sheetViews>
  <sheetFormatPr defaultRowHeight="14.4"/>
  <cols>
    <col min="2" max="2" width="11.44140625" customWidth="1"/>
    <col min="3" max="3" width="20.5546875" customWidth="1"/>
  </cols>
  <sheetData>
    <row r="1" spans="1:11" ht="21">
      <c r="A1" s="36" t="s">
        <v>32</v>
      </c>
      <c r="B1" s="37"/>
      <c r="C1" s="37"/>
      <c r="D1" s="37"/>
      <c r="E1" s="37"/>
      <c r="F1" s="37"/>
      <c r="G1" s="37"/>
      <c r="H1" s="37"/>
      <c r="I1" s="3"/>
      <c r="J1" s="3"/>
      <c r="K1" s="3"/>
    </row>
    <row r="2" spans="1:11">
      <c r="A2" s="3"/>
      <c r="B2" s="3" t="s">
        <v>0</v>
      </c>
      <c r="C2" s="4">
        <v>1043</v>
      </c>
      <c r="D2" s="38" t="s">
        <v>5</v>
      </c>
      <c r="E2" s="39"/>
      <c r="F2" s="35" t="s">
        <v>33</v>
      </c>
      <c r="G2" s="35"/>
      <c r="H2" s="35"/>
      <c r="I2" s="35"/>
      <c r="J2" s="3"/>
      <c r="K2" s="3"/>
    </row>
    <row r="3" spans="1:11">
      <c r="A3" s="3"/>
      <c r="B3" s="3" t="s">
        <v>1</v>
      </c>
      <c r="C3" s="3" t="s">
        <v>3</v>
      </c>
      <c r="D3" s="38" t="s">
        <v>6</v>
      </c>
      <c r="E3" s="39"/>
      <c r="F3" s="35">
        <v>8</v>
      </c>
      <c r="G3" s="35"/>
      <c r="H3" s="35"/>
      <c r="I3" s="3"/>
      <c r="J3" s="3"/>
      <c r="K3" s="3"/>
    </row>
    <row r="4" spans="1:11">
      <c r="A4" s="3"/>
      <c r="B4" s="3" t="s">
        <v>2</v>
      </c>
      <c r="C4" s="3" t="s">
        <v>4</v>
      </c>
      <c r="D4" s="38" t="s">
        <v>7</v>
      </c>
      <c r="E4" s="39"/>
      <c r="F4" s="35">
        <v>1</v>
      </c>
      <c r="G4" s="35"/>
      <c r="H4" s="35"/>
      <c r="I4" s="3"/>
      <c r="J4" s="3"/>
      <c r="K4" s="3"/>
    </row>
    <row r="5" spans="1:11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s="13" customFormat="1" ht="78">
      <c r="A6" s="11" t="s">
        <v>8</v>
      </c>
      <c r="B6" s="11" t="s">
        <v>9</v>
      </c>
      <c r="C6" s="11" t="s">
        <v>10</v>
      </c>
      <c r="D6" s="12" t="s">
        <v>11</v>
      </c>
      <c r="E6" s="12" t="s">
        <v>12</v>
      </c>
      <c r="F6" s="12" t="s">
        <v>13</v>
      </c>
      <c r="G6" s="12" t="s">
        <v>14</v>
      </c>
      <c r="H6" s="12" t="s">
        <v>15</v>
      </c>
      <c r="I6" s="12" t="s">
        <v>16</v>
      </c>
      <c r="J6" s="12" t="s">
        <v>17</v>
      </c>
      <c r="K6" s="12" t="s">
        <v>18</v>
      </c>
    </row>
    <row r="7" spans="1:11">
      <c r="A7" s="2" cm="1">
        <f t="array" ref="A7:A20">_xlfn.SEQUENCE(14)</f>
        <v>1</v>
      </c>
      <c r="B7" s="2" t="s">
        <v>19</v>
      </c>
      <c r="C7" s="2" t="str">
        <f>VLOOKUP(RIGHT(B7,8),'bangthamchieu&amp;thongke'!$B$13:$C$27,2,0)</f>
        <v xml:space="preserve">Nguyễn Văn Hiếu </v>
      </c>
      <c r="D7" s="2">
        <f>VLOOKUP(RIGHT(B7,8),diemthuchanh!B2:F16,3,FALSE)</f>
        <v>0.45</v>
      </c>
      <c r="E7" s="2">
        <f>VLOOKUP(RIGHT(B7,8),diemthuchanh!$B$2:$F$16,4,FALSE)</f>
        <v>0.25</v>
      </c>
      <c r="F7" s="2">
        <f>VLOOKUP(RIGHT(B7,8),diemthuchanh!$B$2:$F$16,5,FALSE)</f>
        <v>0.3</v>
      </c>
      <c r="G7" s="2">
        <f>VLOOKUP(RIGHT(B7,8),diembaitaplon!$B$2:$D$16,3,FALSE)</f>
        <v>0.5</v>
      </c>
      <c r="H7" s="2">
        <f>VLOOKUP(RIGHT(B7,8),diemlythuyet!$B$2:$D$16,3,FALSE)</f>
        <v>4.2</v>
      </c>
      <c r="I7" s="2">
        <f>ROUND(IF(H7=-3,0,D7+E7+F7+G7+0.6*H7),1)</f>
        <v>4</v>
      </c>
      <c r="J7" s="5">
        <f>ROUND(IF(OR(G7=0,VALUE(LEFT(B7,1))&gt;2),0,I7+VLOOKUP(VALUE(LEFT(B7,1)),'bangthamchieu&amp;thongke'!$E$3:$F$5,2,FALSE)),1)</f>
        <v>5</v>
      </c>
      <c r="K7" s="5" t="str">
        <f>VLOOKUP(J7,'bangthamchieu&amp;thongke'!$A$3:$B$10,2,TRUE)</f>
        <v>D+</v>
      </c>
    </row>
    <row r="8" spans="1:11">
      <c r="A8" s="2">
        <v>2</v>
      </c>
      <c r="B8" s="2" t="s">
        <v>20</v>
      </c>
      <c r="C8" s="2" t="str">
        <f>VLOOKUP(RIGHT(B8,8),'bangthamchieu&amp;thongke'!$B$13:$C$27,2,0)</f>
        <v>Lý Minh Trí</v>
      </c>
      <c r="D8" s="2">
        <f>VLOOKUP(RIGHT(B8,8),diemthuchanh!$B$2:$F$16,3,FALSE)</f>
        <v>0.5</v>
      </c>
      <c r="E8" s="2">
        <f>VLOOKUP(RIGHT(B8,8),diemthuchanh!$B$2:$F$16,4,FALSE)</f>
        <v>0.35</v>
      </c>
      <c r="F8" s="2">
        <f>VLOOKUP(RIGHT(B8,8),diemthuchanh!$B$2:$F$16,5,FALSE)</f>
        <v>0.4</v>
      </c>
      <c r="G8" s="2">
        <f>VLOOKUP(RIGHT(B8,8),diembaitaplon!$B$2:$D$16,3,FALSE)</f>
        <v>1</v>
      </c>
      <c r="H8" s="2">
        <f>VLOOKUP(RIGHT(B8,8),diemlythuyet!$B$2:$D$16,3,FALSE)</f>
        <v>5.8</v>
      </c>
      <c r="I8" s="2">
        <f t="shared" ref="I8:I20" si="0">ROUND(IF(H8=-3,0,D8+E8+F8+G8+0.6*H8),1)</f>
        <v>5.7</v>
      </c>
      <c r="J8" s="5">
        <f>ROUND(IF(OR(G8=0,VALUE(LEFT(B8,1))&gt;2),0,I8+VLOOKUP(VALUE(LEFT(B8,1)),'bangthamchieu&amp;thongke'!$E$3:$F$5,2,FALSE)),1)</f>
        <v>6.2</v>
      </c>
      <c r="K8" s="5" t="str">
        <f>VLOOKUP(J8,'bangthamchieu&amp;thongke'!$A$3:$B$10,2,TRUE)</f>
        <v>C</v>
      </c>
    </row>
    <row r="9" spans="1:11">
      <c r="A9" s="2">
        <v>3</v>
      </c>
      <c r="B9" s="2" t="s">
        <v>106</v>
      </c>
      <c r="C9" s="2" t="str">
        <f>VLOOKUP(RIGHT(B9,8),'bangthamchieu&amp;thongke'!$B$13:$C$27,2,0)</f>
        <v xml:space="preserve">Nguyễn Kiều Mi </v>
      </c>
      <c r="D9" s="2">
        <f>VLOOKUP(RIGHT(B9,8),diemthuchanh!$B$2:$F$16,3,FALSE)</f>
        <v>0.25</v>
      </c>
      <c r="E9" s="2">
        <f>VLOOKUP(RIGHT(B9,8),diemthuchanh!$B$2:$F$16,4,FALSE)</f>
        <v>0.25</v>
      </c>
      <c r="F9" s="2">
        <f>VLOOKUP(RIGHT(B9,8),diemthuchanh!$B$2:$F$16,5,FALSE)</f>
        <v>0.3</v>
      </c>
      <c r="G9" s="2">
        <f>VLOOKUP(RIGHT(B9,8),diembaitaplon!$B$2:$D$16,3,FALSE)</f>
        <v>0.5</v>
      </c>
      <c r="H9" s="2">
        <f>VLOOKUP(RIGHT(B9,8),diemlythuyet!$B$2:$D$16,3,FALSE)</f>
        <v>5.8</v>
      </c>
      <c r="I9" s="2">
        <f t="shared" si="0"/>
        <v>4.8</v>
      </c>
      <c r="J9" s="5">
        <f>ROUND(IF(OR(G9=0,VALUE(LEFT(B9,1))&gt;2),0,I9+VLOOKUP(VALUE(LEFT(B9,1)),'bangthamchieu&amp;thongke'!$E$3:$F$5,2,FALSE)),1)</f>
        <v>5.8</v>
      </c>
      <c r="K9" s="5" t="str">
        <f>VLOOKUP(J9,'bangthamchieu&amp;thongke'!$A$3:$B$10,2,TRUE)</f>
        <v>C</v>
      </c>
    </row>
    <row r="10" spans="1:11">
      <c r="A10" s="2">
        <v>4</v>
      </c>
      <c r="B10" s="2" t="s">
        <v>21</v>
      </c>
      <c r="C10" s="2" t="str">
        <f>VLOOKUP(RIGHT(B10,8),'bangthamchieu&amp;thongke'!$B$13:$C$27,2,0)</f>
        <v xml:space="preserve">Đặng Duy Linh </v>
      </c>
      <c r="D10" s="2">
        <f>VLOOKUP(RIGHT(B10,8),diemthuchanh!$B$2:$F$16,3,FALSE)</f>
        <v>0.4</v>
      </c>
      <c r="E10" s="2">
        <f>VLOOKUP(RIGHT(B10,8),diemthuchanh!$B$2:$F$16,4,FALSE)</f>
        <v>0.25</v>
      </c>
      <c r="F10" s="2">
        <f>VLOOKUP(RIGHT(B10,8),diemthuchanh!$B$2:$F$16,5,FALSE)</f>
        <v>0.35</v>
      </c>
      <c r="G10" s="2">
        <f>VLOOKUP(RIGHT(B10,8),diembaitaplon!$B$2:$D$16,3,FALSE)</f>
        <v>1</v>
      </c>
      <c r="H10" s="2">
        <f>VLOOKUP(RIGHT(B10,8),diemlythuyet!$B$2:$D$16,3,FALSE)</f>
        <v>4.5</v>
      </c>
      <c r="I10" s="2">
        <f t="shared" si="0"/>
        <v>4.7</v>
      </c>
      <c r="J10" s="5">
        <f>ROUND(IF(OR(G10=0,VALUE(LEFT(B10,1))&gt;2),0,I10+VLOOKUP(VALUE(LEFT(B10,1)),'bangthamchieu&amp;thongke'!$E$3:$F$5,2,FALSE)),1)</f>
        <v>5.7</v>
      </c>
      <c r="K10" s="5" t="str">
        <f>VLOOKUP(J10,'bangthamchieu&amp;thongke'!$A$3:$B$10,2,TRUE)</f>
        <v>C</v>
      </c>
    </row>
    <row r="11" spans="1:11">
      <c r="A11" s="2">
        <v>5</v>
      </c>
      <c r="B11" s="2" t="s">
        <v>31</v>
      </c>
      <c r="C11" s="2" t="str">
        <f>VLOOKUP(RIGHT(B11,8),'bangthamchieu&amp;thongke'!$B$13:$C$27,2,0)</f>
        <v>Lê Thị Trúc Linh</v>
      </c>
      <c r="D11" s="2">
        <f>VLOOKUP(RIGHT(B11,8),diemthuchanh!$B$2:$F$16,3,FALSE)</f>
        <v>0.45</v>
      </c>
      <c r="E11" s="2">
        <f>VLOOKUP(RIGHT(B11,8),diemthuchanh!$B$2:$F$16,4,FALSE)</f>
        <v>0.4</v>
      </c>
      <c r="F11" s="2">
        <f>VLOOKUP(RIGHT(B11,8),diemthuchanh!$B$2:$F$16,5,FALSE)</f>
        <v>0.35</v>
      </c>
      <c r="G11" s="2">
        <f>VLOOKUP(RIGHT(B11,8),diembaitaplon!$B$2:$D$16,3,FALSE)</f>
        <v>0.75</v>
      </c>
      <c r="H11" s="2">
        <f>VLOOKUP(RIGHT(B11,8),diemlythuyet!$B$2:$D$16,3,FALSE)</f>
        <v>5.5</v>
      </c>
      <c r="I11" s="2">
        <f t="shared" si="0"/>
        <v>5.3</v>
      </c>
      <c r="J11" s="5">
        <f>ROUND(IF(OR(G11=0,VALUE(LEFT(B11,1))&gt;2),0,I11+VLOOKUP(VALUE(LEFT(B11,1)),'bangthamchieu&amp;thongke'!$E$3:$F$5,2,FALSE)),1)</f>
        <v>5.6</v>
      </c>
      <c r="K11" s="5" t="str">
        <f>VLOOKUP(J11,'bangthamchieu&amp;thongke'!$A$3:$B$10,2,TRUE)</f>
        <v>C</v>
      </c>
    </row>
    <row r="12" spans="1:11">
      <c r="A12" s="2">
        <v>6</v>
      </c>
      <c r="B12" s="2" t="s">
        <v>22</v>
      </c>
      <c r="C12" s="2" t="str">
        <f>VLOOKUP(RIGHT(B12,8),'bangthamchieu&amp;thongke'!$B$13:$C$27,2,0)</f>
        <v>Phạm Thị Huỳnh</v>
      </c>
      <c r="D12" s="2">
        <f>VLOOKUP(RIGHT(B12,8),diemthuchanh!$B$2:$F$16,3,FALSE)</f>
        <v>0.4</v>
      </c>
      <c r="E12" s="2">
        <f>VLOOKUP(RIGHT(B12,8),diemthuchanh!$B$2:$F$16,4,FALSE)</f>
        <v>0.45</v>
      </c>
      <c r="F12" s="2">
        <f>VLOOKUP(RIGHT(B12,8),diemthuchanh!$B$2:$F$16,5,FALSE)</f>
        <v>0.5</v>
      </c>
      <c r="G12" s="2">
        <f>VLOOKUP(RIGHT(B12,8),diembaitaplon!$B$2:$D$16,3,FALSE)</f>
        <v>1.2</v>
      </c>
      <c r="H12" s="2">
        <f>VLOOKUP(RIGHT(B12,8),diemlythuyet!$B$2:$D$16,3,FALSE)</f>
        <v>7.5</v>
      </c>
      <c r="I12" s="2">
        <f t="shared" si="0"/>
        <v>7.1</v>
      </c>
      <c r="J12" s="5">
        <f>ROUND(IF(OR(G12=0,VALUE(LEFT(B12,1))&gt;2),0,I12+VLOOKUP(VALUE(LEFT(B12,1)),'bangthamchieu&amp;thongke'!$E$3:$F$5,2,FALSE)),1)</f>
        <v>8.1</v>
      </c>
      <c r="K12" s="5" t="str">
        <f>VLOOKUP(J12,'bangthamchieu&amp;thongke'!$A$3:$B$10,2,TRUE)</f>
        <v>B+</v>
      </c>
    </row>
    <row r="13" spans="1:11">
      <c r="A13" s="2">
        <v>7</v>
      </c>
      <c r="B13" s="2" t="s">
        <v>23</v>
      </c>
      <c r="C13" s="2" t="str">
        <f>VLOOKUP(RIGHT(B13,8),'bangthamchieu&amp;thongke'!$B$13:$C$27,2,0)</f>
        <v>Lê Minh Thông</v>
      </c>
      <c r="D13" s="2">
        <f>VLOOKUP(RIGHT(B13,8),diemthuchanh!$B$2:$F$16,3,FALSE)</f>
        <v>0.4</v>
      </c>
      <c r="E13" s="2">
        <f>VLOOKUP(RIGHT(B13,8),diemthuchanh!$B$2:$F$16,4,FALSE)</f>
        <v>0.4</v>
      </c>
      <c r="F13" s="2">
        <f>VLOOKUP(RIGHT(B13,8),diemthuchanh!$B$2:$F$16,5,FALSE)</f>
        <v>0.4</v>
      </c>
      <c r="G13" s="2">
        <f>VLOOKUP(RIGHT(B13,8),diembaitaplon!$B$2:$D$16,3,FALSE)</f>
        <v>1</v>
      </c>
      <c r="H13" s="2">
        <f>VLOOKUP(RIGHT(B13,8),diemlythuyet!$B$2:$D$16,3,FALSE)</f>
        <v>5.3</v>
      </c>
      <c r="I13" s="2">
        <f t="shared" si="0"/>
        <v>5.4</v>
      </c>
      <c r="J13" s="5">
        <f>ROUND(IF(OR(G13=0,VALUE(LEFT(B13,1))&gt;2),0,I13+VLOOKUP(VALUE(LEFT(B13,1)),'bangthamchieu&amp;thongke'!$E$3:$F$5,2,FALSE)),1)</f>
        <v>6.4</v>
      </c>
      <c r="K13" s="5" t="str">
        <f>VLOOKUP(J13,'bangthamchieu&amp;thongke'!$A$3:$B$10,2,TRUE)</f>
        <v>C</v>
      </c>
    </row>
    <row r="14" spans="1:11">
      <c r="A14" s="2">
        <v>8</v>
      </c>
      <c r="B14" s="2" t="s">
        <v>24</v>
      </c>
      <c r="C14" s="2" t="str">
        <f>VLOOKUP(RIGHT(B14,8),'bangthamchieu&amp;thongke'!$B$13:$C$27,2,0)</f>
        <v xml:space="preserve">Huỳnh Thị Diễm </v>
      </c>
      <c r="D14" s="2">
        <f>VLOOKUP(RIGHT(B14,8),diemthuchanh!$B$2:$F$16,3,FALSE)</f>
        <v>0.45</v>
      </c>
      <c r="E14" s="2">
        <f>VLOOKUP(RIGHT(B14,8),diemthuchanh!$B$2:$F$16,4,FALSE)</f>
        <v>0.4</v>
      </c>
      <c r="F14" s="2">
        <f>VLOOKUP(RIGHT(B14,8),diemthuchanh!$B$2:$F$16,5,FALSE)</f>
        <v>0.45</v>
      </c>
      <c r="G14" s="2">
        <f>VLOOKUP(RIGHT(B14,8),diembaitaplon!$B$2:$D$16,3,FALSE)</f>
        <v>0</v>
      </c>
      <c r="H14" s="2">
        <f>VLOOKUP(RIGHT(B14,8),diemlythuyet!$B$2:$D$16,3,FALSE)</f>
        <v>6.8</v>
      </c>
      <c r="I14" s="2">
        <f t="shared" si="0"/>
        <v>5.4</v>
      </c>
      <c r="J14" s="5">
        <f>ROUND(IF(OR(G14=0,VALUE(LEFT(B14,1))&gt;2),0,I14+VLOOKUP(VALUE(LEFT(B14,1)),'bangthamchieu&amp;thongke'!$E$3:$F$5,2,FALSE)),1)</f>
        <v>0</v>
      </c>
      <c r="K14" s="5" t="str">
        <f>VLOOKUP(J14,'bangthamchieu&amp;thongke'!$A$3:$B$10,2,TRUE)</f>
        <v>F</v>
      </c>
    </row>
    <row r="15" spans="1:11">
      <c r="A15" s="2">
        <v>9</v>
      </c>
      <c r="B15" s="2" t="s">
        <v>25</v>
      </c>
      <c r="C15" s="2" t="str">
        <f>VLOOKUP(RIGHT(B15,8),'bangthamchieu&amp;thongke'!$B$13:$C$27,2,0)</f>
        <v xml:space="preserve">Trần Thanh Nguyên </v>
      </c>
      <c r="D15" s="2">
        <f>VLOOKUP(RIGHT(B15,8),diemthuchanh!$B$2:$F$16,3,FALSE)</f>
        <v>0.45</v>
      </c>
      <c r="E15" s="2">
        <f>VLOOKUP(RIGHT(B15,8),diemthuchanh!$B$2:$F$16,4,FALSE)</f>
        <v>0.4</v>
      </c>
      <c r="F15" s="2">
        <f>VLOOKUP(RIGHT(B15,8),diemthuchanh!$B$2:$F$16,5,FALSE)</f>
        <v>0.4</v>
      </c>
      <c r="G15" s="2">
        <f>VLOOKUP(RIGHT(B15,8),diembaitaplon!$B$2:$D$16,3,FALSE)</f>
        <v>0.75</v>
      </c>
      <c r="H15" s="2">
        <f>VLOOKUP(RIGHT(B15,8),diemlythuyet!$B$2:$D$16,3,FALSE)</f>
        <v>6.3</v>
      </c>
      <c r="I15" s="2">
        <f t="shared" si="0"/>
        <v>5.8</v>
      </c>
      <c r="J15" s="5">
        <f>ROUND(IF(OR(G15=0,VALUE(LEFT(B15,1))&gt;2),0,I15+VLOOKUP(VALUE(LEFT(B15,1)),'bangthamchieu&amp;thongke'!$E$3:$F$5,2,FALSE)),1)</f>
        <v>6.8</v>
      </c>
      <c r="K15" s="5" t="str">
        <f>VLOOKUP(J15,'bangthamchieu&amp;thongke'!$A$3:$B$10,2,TRUE)</f>
        <v>C+</v>
      </c>
    </row>
    <row r="16" spans="1:11">
      <c r="A16" s="2">
        <v>10</v>
      </c>
      <c r="B16" s="2" t="s">
        <v>26</v>
      </c>
      <c r="C16" s="2" t="str">
        <f>VLOOKUP(RIGHT(B16,8),'bangthamchieu&amp;thongke'!$B$13:$C$27,2,0)</f>
        <v xml:space="preserve">Nguyễn Thị Đào </v>
      </c>
      <c r="D16" s="2">
        <f>VLOOKUP(RIGHT(B16,8),diemthuchanh!$B$2:$F$16,3,FALSE)</f>
        <v>0.3</v>
      </c>
      <c r="E16" s="2">
        <f>VLOOKUP(RIGHT(B16,8),diemthuchanh!$B$2:$F$16,4,FALSE)</f>
        <v>0.5</v>
      </c>
      <c r="F16" s="2">
        <f>VLOOKUP(RIGHT(B16,8),diemthuchanh!$B$2:$F$16,5,FALSE)</f>
        <v>0.45</v>
      </c>
      <c r="G16" s="2">
        <f>VLOOKUP(RIGHT(B16,8),diembaitaplon!$B$2:$D$16,3,FALSE)</f>
        <v>0.3</v>
      </c>
      <c r="H16" s="2">
        <f>VLOOKUP(RIGHT(B16,8),diemlythuyet!$B$2:$D$16,3,FALSE)</f>
        <v>8.3000000000000007</v>
      </c>
      <c r="I16" s="2">
        <f t="shared" si="0"/>
        <v>6.5</v>
      </c>
      <c r="J16" s="5">
        <f>ROUND(IF(OR(G16=0,VALUE(LEFT(B16,1))&gt;2),0,I16+VLOOKUP(VALUE(LEFT(B16,1)),'bangthamchieu&amp;thongke'!$E$3:$F$5,2,FALSE)),1)</f>
        <v>7</v>
      </c>
      <c r="K16" s="5" t="str">
        <f>VLOOKUP(J16,'bangthamchieu&amp;thongke'!$A$3:$B$10,2,TRUE)</f>
        <v>B</v>
      </c>
    </row>
    <row r="17" spans="1:11">
      <c r="A17" s="2">
        <v>11</v>
      </c>
      <c r="B17" s="2" t="s">
        <v>27</v>
      </c>
      <c r="C17" s="2" t="str">
        <f>VLOOKUP(RIGHT(B17,8),'bangthamchieu&amp;thongke'!$B$13:$C$27,2,0)</f>
        <v xml:space="preserve">Nguyễn Chí Thanh </v>
      </c>
      <c r="D17" s="2">
        <f>VLOOKUP(RIGHT(B17,8),diemthuchanh!$B$2:$F$16,3,FALSE)</f>
        <v>0.4</v>
      </c>
      <c r="E17" s="2">
        <f>VLOOKUP(RIGHT(B17,8),diemthuchanh!$B$2:$F$16,4,FALSE)</f>
        <v>0.45</v>
      </c>
      <c r="F17" s="2">
        <f>VLOOKUP(RIGHT(B17,8),diemthuchanh!$B$2:$F$16,5,FALSE)</f>
        <v>0.4</v>
      </c>
      <c r="G17" s="2">
        <f>VLOOKUP(RIGHT(B17,8),diembaitaplon!$B$2:$D$16,3,FALSE)</f>
        <v>0.3</v>
      </c>
      <c r="H17" s="2">
        <f>VLOOKUP(RIGHT(B17,8),diemlythuyet!$B$2:$D$16,3,FALSE)</f>
        <v>-3</v>
      </c>
      <c r="I17" s="2">
        <f t="shared" si="0"/>
        <v>0</v>
      </c>
      <c r="J17" s="5">
        <f>ROUND(IF(OR(G17=0,VALUE(LEFT(B17,1))&gt;2),0,I17+VLOOKUP(VALUE(LEFT(B17,1)),'bangthamchieu&amp;thongke'!$E$3:$F$5,2,FALSE)),1)</f>
        <v>0</v>
      </c>
      <c r="K17" s="5" t="str">
        <f>VLOOKUP(J17,'bangthamchieu&amp;thongke'!$A$3:$B$10,2,TRUE)</f>
        <v>F</v>
      </c>
    </row>
    <row r="18" spans="1:11">
      <c r="A18" s="2">
        <v>12</v>
      </c>
      <c r="B18" s="2" t="s">
        <v>28</v>
      </c>
      <c r="C18" s="2" t="str">
        <f>VLOOKUP(RIGHT(B18,8),'bangthamchieu&amp;thongke'!$B$13:$C$27,2,0)</f>
        <v xml:space="preserve">Nguyễn Hải Anh </v>
      </c>
      <c r="D18" s="2">
        <f>VLOOKUP(RIGHT(B18,8),diemthuchanh!$B$2:$F$16,3,FALSE)</f>
        <v>0.5</v>
      </c>
      <c r="E18" s="2">
        <f>VLOOKUP(RIGHT(B18,8),diemthuchanh!$B$2:$F$16,4,FALSE)</f>
        <v>0.5</v>
      </c>
      <c r="F18" s="2">
        <f>VLOOKUP(RIGHT(B18,8),diemthuchanh!$B$2:$F$16,5,FALSE)</f>
        <v>0.45</v>
      </c>
      <c r="G18" s="2">
        <f>VLOOKUP(RIGHT(B18,8),diembaitaplon!$B$2:$D$16,3,FALSE)</f>
        <v>1.5</v>
      </c>
      <c r="H18" s="2">
        <f>VLOOKUP(RIGHT(B18,8),diemlythuyet!$B$2:$D$16,3,FALSE)</f>
        <v>7</v>
      </c>
      <c r="I18" s="2">
        <f t="shared" si="0"/>
        <v>7.2</v>
      </c>
      <c r="J18" s="5">
        <f>ROUND(IF(OR(G18=0,VALUE(LEFT(B18,1))&gt;2),0,I18+VLOOKUP(VALUE(LEFT(B18,1)),'bangthamchieu&amp;thongke'!$E$3:$F$5,2,FALSE)),1)</f>
        <v>7.5</v>
      </c>
      <c r="K18" s="5" t="str">
        <f>VLOOKUP(J18,'bangthamchieu&amp;thongke'!$A$3:$B$10,2,TRUE)</f>
        <v>B</v>
      </c>
    </row>
    <row r="19" spans="1:11">
      <c r="A19" s="2">
        <v>13</v>
      </c>
      <c r="B19" s="2" t="s">
        <v>29</v>
      </c>
      <c r="C19" s="2" t="str">
        <f>VLOOKUP(RIGHT(B19,8),'bangthamchieu&amp;thongke'!$B$13:$C$27,2,0)</f>
        <v>Trần Nam Dương</v>
      </c>
      <c r="D19" s="2">
        <f>VLOOKUP(RIGHT(B19,8),diemthuchanh!$B$2:$F$16,3,FALSE)</f>
        <v>0.4</v>
      </c>
      <c r="E19" s="2">
        <f>VLOOKUP(RIGHT(B19,8),diemthuchanh!$B$2:$F$16,4,FALSE)</f>
        <v>0.4</v>
      </c>
      <c r="F19" s="2">
        <f>VLOOKUP(RIGHT(B19,8),diemthuchanh!$B$2:$F$16,5,FALSE)</f>
        <v>0.35</v>
      </c>
      <c r="G19" s="2">
        <f>VLOOKUP(RIGHT(B19,8),diembaitaplon!$B$2:$D$16,3,FALSE)</f>
        <v>1.35</v>
      </c>
      <c r="H19" s="2">
        <f>VLOOKUP(RIGHT(B19,8),diemlythuyet!$B$2:$D$16,3,FALSE)</f>
        <v>-3</v>
      </c>
      <c r="I19" s="2">
        <f t="shared" si="0"/>
        <v>0</v>
      </c>
      <c r="J19" s="5">
        <f>ROUND(IF(OR(G19=0,VALUE(LEFT(B19,1))&gt;2),0,I19+VLOOKUP(VALUE(LEFT(B19,1)),'bangthamchieu&amp;thongke'!$E$3:$F$5,2,FALSE)),1)</f>
        <v>0</v>
      </c>
      <c r="K19" s="5" t="str">
        <f>VLOOKUP(J19,'bangthamchieu&amp;thongke'!$A$3:$B$10,2,TRUE)</f>
        <v>F</v>
      </c>
    </row>
    <row r="20" spans="1:11">
      <c r="A20" s="2">
        <v>14</v>
      </c>
      <c r="B20" s="2" t="s">
        <v>30</v>
      </c>
      <c r="C20" s="2" t="str">
        <f>VLOOKUP(RIGHT(B20,8),'bangthamchieu&amp;thongke'!$B$13:$C$27,2,0)</f>
        <v xml:space="preserve">Nguyễn Duy Khanh </v>
      </c>
      <c r="D20" s="2">
        <f>VLOOKUP(RIGHT(B20,8),diemthuchanh!$B$2:$F$16,3,FALSE)</f>
        <v>0.35</v>
      </c>
      <c r="E20" s="2">
        <f>VLOOKUP(RIGHT(B20,8),diemthuchanh!$B$2:$F$16,4,FALSE)</f>
        <v>0.4</v>
      </c>
      <c r="F20" s="2">
        <f>VLOOKUP(RIGHT(B20,8),diemthuchanh!$B$2:$F$16,5,FALSE)</f>
        <v>0</v>
      </c>
      <c r="G20" s="2">
        <f>VLOOKUP(RIGHT(B20,8),diembaitaplon!$B$2:$D$16,3,FALSE)</f>
        <v>0.85</v>
      </c>
      <c r="H20" s="2">
        <f>VLOOKUP(RIGHT(B20,8),diemlythuyet!$B$2:$D$16,3,FALSE)</f>
        <v>6.5</v>
      </c>
      <c r="I20" s="2">
        <f t="shared" si="0"/>
        <v>5.5</v>
      </c>
      <c r="J20" s="5">
        <f>ROUND(IF(OR(G20=0,VALUE(LEFT(B20,1))&gt;2),0,I20+VLOOKUP(VALUE(LEFT(B20,1)),'bangthamchieu&amp;thongke'!$E$3:$F$5,2,FALSE)),1)</f>
        <v>6.5</v>
      </c>
      <c r="K20" s="5" t="str">
        <f>VLOOKUP(J20,'bangthamchieu&amp;thongke'!$A$3:$B$10,2,TRUE)</f>
        <v>C+</v>
      </c>
    </row>
  </sheetData>
  <mergeCells count="7">
    <mergeCell ref="F4:H4"/>
    <mergeCell ref="A1:H1"/>
    <mergeCell ref="D2:E2"/>
    <mergeCell ref="D3:E3"/>
    <mergeCell ref="D4:E4"/>
    <mergeCell ref="F2:I2"/>
    <mergeCell ref="F3:H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A7053-294A-4521-97B0-6D85837ADF14}">
  <dimension ref="A1:F16"/>
  <sheetViews>
    <sheetView workbookViewId="0">
      <selection activeCell="J19" sqref="J19"/>
    </sheetView>
  </sheetViews>
  <sheetFormatPr defaultRowHeight="14.4"/>
  <cols>
    <col min="2" max="2" width="13.109375" customWidth="1"/>
    <col min="3" max="3" width="16.21875" bestFit="1" customWidth="1"/>
    <col min="4" max="5" width="10.88671875" bestFit="1" customWidth="1"/>
    <col min="6" max="6" width="12.88671875" customWidth="1"/>
  </cols>
  <sheetData>
    <row r="1" spans="1:6" ht="21">
      <c r="A1" s="40" t="s">
        <v>34</v>
      </c>
      <c r="B1" s="40"/>
      <c r="C1" s="40"/>
      <c r="D1" s="40"/>
      <c r="E1" s="40"/>
      <c r="F1" s="40"/>
    </row>
    <row r="2" spans="1:6" ht="18">
      <c r="A2" s="8" t="s">
        <v>8</v>
      </c>
      <c r="B2" s="8" t="s">
        <v>9</v>
      </c>
      <c r="C2" s="8" t="s">
        <v>35</v>
      </c>
      <c r="D2" s="8" t="s">
        <v>36</v>
      </c>
      <c r="E2" s="8" t="s">
        <v>37</v>
      </c>
      <c r="F2" s="8" t="s">
        <v>38</v>
      </c>
    </row>
    <row r="3" spans="1:6" ht="15.6">
      <c r="A3" s="7" cm="1">
        <f t="array" ref="A3:A16">_xlfn.SEQUENCE(14)</f>
        <v>1</v>
      </c>
      <c r="B3" s="7" t="s">
        <v>39</v>
      </c>
      <c r="C3" s="7" t="s">
        <v>53</v>
      </c>
      <c r="D3" s="7">
        <v>0.45</v>
      </c>
      <c r="E3" s="7">
        <v>0.25</v>
      </c>
      <c r="F3" s="7">
        <v>0.3</v>
      </c>
    </row>
    <row r="4" spans="1:6" ht="15.6">
      <c r="A4" s="7">
        <v>2</v>
      </c>
      <c r="B4" s="7" t="s">
        <v>40</v>
      </c>
      <c r="C4" s="7" t="s">
        <v>54</v>
      </c>
      <c r="D4" s="7">
        <v>0.5</v>
      </c>
      <c r="E4" s="7">
        <v>0.35</v>
      </c>
      <c r="F4" s="7">
        <v>0.4</v>
      </c>
    </row>
    <row r="5" spans="1:6" ht="15.6">
      <c r="A5" s="7">
        <v>3</v>
      </c>
      <c r="B5" s="7" t="s">
        <v>41</v>
      </c>
      <c r="C5" s="7" t="s">
        <v>55</v>
      </c>
      <c r="D5" s="7">
        <v>0.25</v>
      </c>
      <c r="E5" s="7">
        <v>0.25</v>
      </c>
      <c r="F5" s="7">
        <v>0.3</v>
      </c>
    </row>
    <row r="6" spans="1:6" ht="15.6">
      <c r="A6" s="7">
        <v>4</v>
      </c>
      <c r="B6" s="7" t="s">
        <v>42</v>
      </c>
      <c r="C6" s="7" t="s">
        <v>56</v>
      </c>
      <c r="D6" s="7">
        <v>0.4</v>
      </c>
      <c r="E6" s="7">
        <v>0.25</v>
      </c>
      <c r="F6" s="7">
        <v>0.35</v>
      </c>
    </row>
    <row r="7" spans="1:6" ht="15.6">
      <c r="A7" s="7">
        <v>5</v>
      </c>
      <c r="B7" s="7" t="s">
        <v>43</v>
      </c>
      <c r="C7" s="7" t="s">
        <v>57</v>
      </c>
      <c r="D7" s="7">
        <v>0.45</v>
      </c>
      <c r="E7" s="7">
        <v>0.4</v>
      </c>
      <c r="F7" s="7">
        <v>0.35</v>
      </c>
    </row>
    <row r="8" spans="1:6" ht="15.6">
      <c r="A8" s="7">
        <v>6</v>
      </c>
      <c r="B8" s="7" t="s">
        <v>44</v>
      </c>
      <c r="C8" s="7" t="s">
        <v>58</v>
      </c>
      <c r="D8" s="7">
        <v>0.4</v>
      </c>
      <c r="E8" s="7">
        <v>0.45</v>
      </c>
      <c r="F8" s="7">
        <v>0.5</v>
      </c>
    </row>
    <row r="9" spans="1:6" ht="15.6">
      <c r="A9" s="7">
        <v>7</v>
      </c>
      <c r="B9" s="7" t="s">
        <v>45</v>
      </c>
      <c r="C9" s="7" t="s">
        <v>59</v>
      </c>
      <c r="D9" s="7">
        <v>0.4</v>
      </c>
      <c r="E9" s="7">
        <v>0.4</v>
      </c>
      <c r="F9" s="7">
        <v>0.4</v>
      </c>
    </row>
    <row r="10" spans="1:6" ht="15.6">
      <c r="A10" s="7">
        <v>8</v>
      </c>
      <c r="B10" s="7" t="s">
        <v>46</v>
      </c>
      <c r="C10" s="7" t="s">
        <v>60</v>
      </c>
      <c r="D10" s="7">
        <v>0.45</v>
      </c>
      <c r="E10" s="7">
        <v>0.4</v>
      </c>
      <c r="F10" s="7">
        <v>0.45</v>
      </c>
    </row>
    <row r="11" spans="1:6" ht="15.6">
      <c r="A11" s="7">
        <v>9</v>
      </c>
      <c r="B11" s="7" t="s">
        <v>47</v>
      </c>
      <c r="C11" s="7" t="s">
        <v>61</v>
      </c>
      <c r="D11" s="7">
        <v>0.45</v>
      </c>
      <c r="E11" s="7">
        <v>0.4</v>
      </c>
      <c r="F11" s="7">
        <v>0.4</v>
      </c>
    </row>
    <row r="12" spans="1:6" ht="15.6">
      <c r="A12" s="7">
        <v>10</v>
      </c>
      <c r="B12" s="7" t="s">
        <v>48</v>
      </c>
      <c r="C12" s="7" t="s">
        <v>62</v>
      </c>
      <c r="D12" s="7">
        <v>0.3</v>
      </c>
      <c r="E12" s="7">
        <v>0.5</v>
      </c>
      <c r="F12" s="7">
        <v>0.45</v>
      </c>
    </row>
    <row r="13" spans="1:6" ht="15.6">
      <c r="A13" s="7">
        <v>11</v>
      </c>
      <c r="B13" s="7" t="s">
        <v>49</v>
      </c>
      <c r="C13" s="7" t="s">
        <v>63</v>
      </c>
      <c r="D13" s="7">
        <v>0.4</v>
      </c>
      <c r="E13" s="7">
        <v>0.45</v>
      </c>
      <c r="F13" s="7">
        <v>0.4</v>
      </c>
    </row>
    <row r="14" spans="1:6" ht="15.6">
      <c r="A14" s="7">
        <v>12</v>
      </c>
      <c r="B14" s="7" t="s">
        <v>50</v>
      </c>
      <c r="C14" s="7" t="s">
        <v>64</v>
      </c>
      <c r="D14" s="7">
        <v>0.5</v>
      </c>
      <c r="E14" s="7">
        <v>0.5</v>
      </c>
      <c r="F14" s="7">
        <v>0.45</v>
      </c>
    </row>
    <row r="15" spans="1:6" ht="15.6">
      <c r="A15" s="7">
        <v>13</v>
      </c>
      <c r="B15" s="7" t="s">
        <v>51</v>
      </c>
      <c r="C15" s="7" t="s">
        <v>65</v>
      </c>
      <c r="D15" s="7">
        <v>0.4</v>
      </c>
      <c r="E15" s="7">
        <v>0.4</v>
      </c>
      <c r="F15" s="7">
        <v>0.35</v>
      </c>
    </row>
    <row r="16" spans="1:6" ht="15.6">
      <c r="A16" s="7">
        <v>14</v>
      </c>
      <c r="B16" s="7" t="s">
        <v>52</v>
      </c>
      <c r="C16" s="7" t="s">
        <v>66</v>
      </c>
      <c r="D16" s="7">
        <v>0.35</v>
      </c>
      <c r="E16" s="7">
        <v>0.4</v>
      </c>
      <c r="F16" s="7">
        <v>0</v>
      </c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A821E-F8F0-4CA4-A11B-D5D4B622CC59}">
  <dimension ref="A1:F16"/>
  <sheetViews>
    <sheetView workbookViewId="0">
      <selection sqref="A1:D2"/>
    </sheetView>
  </sheetViews>
  <sheetFormatPr defaultRowHeight="14.4"/>
  <cols>
    <col min="1" max="1" width="9.88671875" customWidth="1"/>
    <col min="2" max="2" width="18.109375" customWidth="1"/>
    <col min="3" max="3" width="18.5546875" bestFit="1" customWidth="1"/>
    <col min="4" max="4" width="16.33203125" customWidth="1"/>
  </cols>
  <sheetData>
    <row r="1" spans="1:6" ht="21">
      <c r="A1" s="41" t="s">
        <v>67</v>
      </c>
      <c r="B1" s="41"/>
      <c r="C1" s="41"/>
      <c r="D1" s="41"/>
    </row>
    <row r="2" spans="1:6" ht="18">
      <c r="A2" s="9" t="s">
        <v>8</v>
      </c>
      <c r="B2" s="9" t="s">
        <v>9</v>
      </c>
      <c r="C2" s="9" t="s">
        <v>35</v>
      </c>
      <c r="D2" s="9" t="s">
        <v>68</v>
      </c>
    </row>
    <row r="3" spans="1:6" ht="15.6">
      <c r="A3" s="6" cm="1">
        <f t="array" ref="A3:A16">_xlfn.SEQUENCE(14)</f>
        <v>1</v>
      </c>
      <c r="B3" s="6" t="s">
        <v>39</v>
      </c>
      <c r="C3" s="6" t="s">
        <v>69</v>
      </c>
      <c r="D3" s="6">
        <v>0.5</v>
      </c>
    </row>
    <row r="4" spans="1:6" ht="15.6">
      <c r="A4" s="6">
        <v>2</v>
      </c>
      <c r="B4" s="6" t="s">
        <v>40</v>
      </c>
      <c r="C4" s="6" t="s">
        <v>54</v>
      </c>
      <c r="D4" s="6">
        <v>1</v>
      </c>
    </row>
    <row r="5" spans="1:6" ht="15.6">
      <c r="A5" s="6">
        <v>3</v>
      </c>
      <c r="B5" s="6" t="s">
        <v>41</v>
      </c>
      <c r="C5" s="6" t="s">
        <v>55</v>
      </c>
      <c r="D5" s="6">
        <v>0.5</v>
      </c>
    </row>
    <row r="6" spans="1:6" ht="15.6">
      <c r="A6" s="6">
        <v>4</v>
      </c>
      <c r="B6" s="6" t="s">
        <v>42</v>
      </c>
      <c r="C6" s="6" t="s">
        <v>70</v>
      </c>
      <c r="D6" s="6">
        <v>1</v>
      </c>
    </row>
    <row r="7" spans="1:6" ht="15.6">
      <c r="A7" s="6">
        <v>5</v>
      </c>
      <c r="B7" s="6" t="s">
        <v>43</v>
      </c>
      <c r="C7" s="6" t="s">
        <v>57</v>
      </c>
      <c r="D7" s="6">
        <v>0.75</v>
      </c>
      <c r="F7" s="10"/>
    </row>
    <row r="8" spans="1:6" ht="15.6">
      <c r="A8" s="6">
        <v>6</v>
      </c>
      <c r="B8" s="6" t="s">
        <v>44</v>
      </c>
      <c r="C8" s="6" t="s">
        <v>71</v>
      </c>
      <c r="D8" s="6">
        <v>1.2</v>
      </c>
    </row>
    <row r="9" spans="1:6" ht="15.6">
      <c r="A9" s="6">
        <v>7</v>
      </c>
      <c r="B9" s="6" t="s">
        <v>45</v>
      </c>
      <c r="C9" s="6" t="s">
        <v>59</v>
      </c>
      <c r="D9" s="6">
        <v>1</v>
      </c>
    </row>
    <row r="10" spans="1:6" ht="15.6">
      <c r="A10" s="6">
        <v>8</v>
      </c>
      <c r="B10" s="6" t="s">
        <v>46</v>
      </c>
      <c r="C10" s="6" t="s">
        <v>72</v>
      </c>
      <c r="D10" s="6">
        <v>0</v>
      </c>
    </row>
    <row r="11" spans="1:6" ht="15.6">
      <c r="A11" s="6">
        <v>9</v>
      </c>
      <c r="B11" s="6" t="s">
        <v>47</v>
      </c>
      <c r="C11" s="6" t="s">
        <v>73</v>
      </c>
      <c r="D11" s="6">
        <v>0.75</v>
      </c>
    </row>
    <row r="12" spans="1:6" ht="15.6">
      <c r="A12" s="6">
        <v>10</v>
      </c>
      <c r="B12" s="6" t="s">
        <v>48</v>
      </c>
      <c r="C12" s="6" t="s">
        <v>74</v>
      </c>
      <c r="D12" s="6">
        <v>0.3</v>
      </c>
    </row>
    <row r="13" spans="1:6" ht="15.6">
      <c r="A13" s="6">
        <v>11</v>
      </c>
      <c r="B13" s="6" t="s">
        <v>49</v>
      </c>
      <c r="C13" s="6" t="s">
        <v>63</v>
      </c>
      <c r="D13" s="6">
        <v>0.3</v>
      </c>
    </row>
    <row r="14" spans="1:6" ht="15.6">
      <c r="A14" s="6">
        <v>12</v>
      </c>
      <c r="B14" s="6" t="s">
        <v>50</v>
      </c>
      <c r="C14" s="6" t="s">
        <v>75</v>
      </c>
      <c r="D14" s="6">
        <v>1.5</v>
      </c>
    </row>
    <row r="15" spans="1:6" ht="15.6">
      <c r="A15" s="6">
        <v>13</v>
      </c>
      <c r="B15" s="6" t="s">
        <v>51</v>
      </c>
      <c r="C15" s="6" t="s">
        <v>76</v>
      </c>
      <c r="D15" s="6">
        <v>1.35</v>
      </c>
    </row>
    <row r="16" spans="1:6" ht="15.6">
      <c r="A16" s="6">
        <v>14</v>
      </c>
      <c r="B16" s="6" t="s">
        <v>52</v>
      </c>
      <c r="C16" s="6" t="s">
        <v>77</v>
      </c>
      <c r="D16" s="6">
        <v>0.85</v>
      </c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A6C3A-99F5-4C33-ABE0-C8E78C108431}">
  <dimension ref="A1:E16"/>
  <sheetViews>
    <sheetView workbookViewId="0">
      <selection sqref="A1:D2"/>
    </sheetView>
  </sheetViews>
  <sheetFormatPr defaultRowHeight="14.4"/>
  <cols>
    <col min="1" max="1" width="11.77734375" customWidth="1"/>
    <col min="2" max="2" width="14.77734375" customWidth="1"/>
    <col min="3" max="3" width="19.21875" customWidth="1"/>
    <col min="4" max="4" width="16.5546875" bestFit="1" customWidth="1"/>
  </cols>
  <sheetData>
    <row r="1" spans="1:5" ht="21">
      <c r="A1" s="42" t="s">
        <v>78</v>
      </c>
      <c r="B1" s="42"/>
      <c r="C1" s="42"/>
      <c r="D1" s="42"/>
    </row>
    <row r="2" spans="1:5" ht="18">
      <c r="A2" s="14" t="s">
        <v>8</v>
      </c>
      <c r="B2" s="14" t="s">
        <v>9</v>
      </c>
      <c r="C2" s="14" t="s">
        <v>10</v>
      </c>
      <c r="D2" s="14" t="s">
        <v>78</v>
      </c>
      <c r="E2" s="1"/>
    </row>
    <row r="3" spans="1:5" ht="15.6">
      <c r="A3" s="6" cm="1">
        <f t="array" ref="A3:A16">_xlfn.SEQUENCE(14)</f>
        <v>1</v>
      </c>
      <c r="B3" s="6" t="s">
        <v>39</v>
      </c>
      <c r="C3" s="6" t="s">
        <v>79</v>
      </c>
      <c r="D3" s="6">
        <v>4.2</v>
      </c>
      <c r="E3" s="1"/>
    </row>
    <row r="4" spans="1:5" ht="15.6">
      <c r="A4" s="6">
        <v>2</v>
      </c>
      <c r="B4" s="6" t="s">
        <v>40</v>
      </c>
      <c r="C4" s="6" t="s">
        <v>54</v>
      </c>
      <c r="D4" s="6">
        <v>5.8</v>
      </c>
      <c r="E4" s="1"/>
    </row>
    <row r="5" spans="1:5" ht="15.6">
      <c r="A5" s="6">
        <v>3</v>
      </c>
      <c r="B5" s="6" t="s">
        <v>41</v>
      </c>
      <c r="C5" s="6" t="s">
        <v>80</v>
      </c>
      <c r="D5" s="6">
        <v>5.8</v>
      </c>
      <c r="E5" s="1"/>
    </row>
    <row r="6" spans="1:5" ht="15.6">
      <c r="A6" s="6">
        <v>4</v>
      </c>
      <c r="B6" s="6" t="s">
        <v>42</v>
      </c>
      <c r="C6" s="6" t="s">
        <v>56</v>
      </c>
      <c r="D6" s="6">
        <v>4.5</v>
      </c>
      <c r="E6" s="1"/>
    </row>
    <row r="7" spans="1:5" ht="15.6">
      <c r="A7" s="6">
        <v>5</v>
      </c>
      <c r="B7" s="6" t="s">
        <v>43</v>
      </c>
      <c r="C7" s="6" t="s">
        <v>57</v>
      </c>
      <c r="D7" s="6">
        <v>5.5</v>
      </c>
      <c r="E7" s="1"/>
    </row>
    <row r="8" spans="1:5" ht="15.6">
      <c r="A8" s="6">
        <v>6</v>
      </c>
      <c r="B8" s="6" t="s">
        <v>44</v>
      </c>
      <c r="C8" s="6" t="s">
        <v>58</v>
      </c>
      <c r="D8" s="6">
        <v>7.5</v>
      </c>
      <c r="E8" s="1"/>
    </row>
    <row r="9" spans="1:5" ht="15.6">
      <c r="A9" s="6">
        <v>7</v>
      </c>
      <c r="B9" s="6" t="s">
        <v>45</v>
      </c>
      <c r="C9" s="6" t="s">
        <v>59</v>
      </c>
      <c r="D9" s="6">
        <v>5.3</v>
      </c>
      <c r="E9" s="1"/>
    </row>
    <row r="10" spans="1:5" ht="15.6">
      <c r="A10" s="6">
        <v>8</v>
      </c>
      <c r="B10" s="6" t="s">
        <v>46</v>
      </c>
      <c r="C10" s="6" t="s">
        <v>60</v>
      </c>
      <c r="D10" s="6">
        <v>6.8</v>
      </c>
      <c r="E10" s="1"/>
    </row>
    <row r="11" spans="1:5" ht="15.6">
      <c r="A11" s="6">
        <v>9</v>
      </c>
      <c r="B11" s="6" t="s">
        <v>47</v>
      </c>
      <c r="C11" s="6" t="s">
        <v>61</v>
      </c>
      <c r="D11" s="6">
        <v>6.3</v>
      </c>
      <c r="E11" s="1"/>
    </row>
    <row r="12" spans="1:5" ht="15.6">
      <c r="A12" s="6">
        <v>10</v>
      </c>
      <c r="B12" s="6" t="s">
        <v>48</v>
      </c>
      <c r="C12" s="6" t="s">
        <v>74</v>
      </c>
      <c r="D12" s="6">
        <v>8.3000000000000007</v>
      </c>
      <c r="E12" s="1"/>
    </row>
    <row r="13" spans="1:5" ht="15.6">
      <c r="A13" s="6">
        <v>11</v>
      </c>
      <c r="B13" s="6" t="s">
        <v>49</v>
      </c>
      <c r="C13" s="6" t="s">
        <v>63</v>
      </c>
      <c r="D13" s="6">
        <v>-3</v>
      </c>
      <c r="E13" s="1"/>
    </row>
    <row r="14" spans="1:5" ht="15.6">
      <c r="A14" s="6">
        <v>12</v>
      </c>
      <c r="B14" s="6" t="s">
        <v>50</v>
      </c>
      <c r="C14" s="6" t="s">
        <v>81</v>
      </c>
      <c r="D14" s="6">
        <v>7</v>
      </c>
      <c r="E14" s="1"/>
    </row>
    <row r="15" spans="1:5" ht="15.6">
      <c r="A15" s="6">
        <v>13</v>
      </c>
      <c r="B15" s="6" t="s">
        <v>51</v>
      </c>
      <c r="C15" s="6" t="s">
        <v>65</v>
      </c>
      <c r="D15" s="6">
        <v>-3</v>
      </c>
      <c r="E15" s="1"/>
    </row>
    <row r="16" spans="1:5" ht="15.6">
      <c r="A16" s="6">
        <v>14</v>
      </c>
      <c r="B16" s="6" t="s">
        <v>52</v>
      </c>
      <c r="C16" s="6" t="s">
        <v>66</v>
      </c>
      <c r="D16" s="6">
        <v>6.5</v>
      </c>
      <c r="E16" s="1"/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60768-9CB1-47CD-8795-195203C94F94}">
  <dimension ref="A1:I27"/>
  <sheetViews>
    <sheetView tabSelected="1" topLeftCell="A3" workbookViewId="0">
      <selection activeCell="J4" sqref="J4"/>
    </sheetView>
  </sheetViews>
  <sheetFormatPr defaultRowHeight="14.4"/>
  <cols>
    <col min="1" max="1" width="27.44140625" bestFit="1" customWidth="1"/>
    <col min="2" max="2" width="14.77734375" customWidth="1"/>
    <col min="3" max="3" width="26.21875" bestFit="1" customWidth="1"/>
    <col min="5" max="5" width="23.77734375" customWidth="1"/>
    <col min="6" max="6" width="21.5546875" customWidth="1"/>
  </cols>
  <sheetData>
    <row r="1" spans="1:6" ht="21">
      <c r="A1" s="27" t="s">
        <v>82</v>
      </c>
      <c r="B1" s="27"/>
      <c r="C1" s="27"/>
      <c r="D1" s="15"/>
      <c r="E1" s="28" t="s">
        <v>86</v>
      </c>
      <c r="F1" s="28"/>
    </row>
    <row r="2" spans="1:6" ht="18">
      <c r="A2" s="21" t="s">
        <v>83</v>
      </c>
      <c r="B2" s="21" t="s">
        <v>84</v>
      </c>
      <c r="C2" s="21" t="s">
        <v>85</v>
      </c>
      <c r="D2" s="16"/>
      <c r="E2" s="22" t="s">
        <v>87</v>
      </c>
      <c r="F2" s="22" t="s">
        <v>88</v>
      </c>
    </row>
    <row r="3" spans="1:6" ht="15.6">
      <c r="A3" s="17">
        <v>0</v>
      </c>
      <c r="B3" s="17" t="s">
        <v>89</v>
      </c>
      <c r="C3" s="17">
        <v>0</v>
      </c>
      <c r="D3" s="17"/>
      <c r="E3" s="17">
        <v>0</v>
      </c>
      <c r="F3" s="17">
        <v>1</v>
      </c>
    </row>
    <row r="4" spans="1:6" ht="15.6">
      <c r="A4" s="17">
        <v>4</v>
      </c>
      <c r="B4" s="17" t="s">
        <v>90</v>
      </c>
      <c r="C4" s="17">
        <v>1</v>
      </c>
      <c r="D4" s="17"/>
      <c r="E4" s="17">
        <v>1</v>
      </c>
      <c r="F4" s="17">
        <v>0.5</v>
      </c>
    </row>
    <row r="5" spans="1:6" ht="15.6">
      <c r="A5" s="17">
        <v>5</v>
      </c>
      <c r="B5" s="17" t="s">
        <v>91</v>
      </c>
      <c r="C5" s="17">
        <v>1.5</v>
      </c>
      <c r="D5" s="17"/>
      <c r="E5" s="17">
        <v>2</v>
      </c>
      <c r="F5" s="17">
        <v>0.25</v>
      </c>
    </row>
    <row r="6" spans="1:6" ht="15.6">
      <c r="A6" s="17">
        <v>5.5</v>
      </c>
      <c r="B6" s="17" t="s">
        <v>92</v>
      </c>
      <c r="C6" s="17">
        <v>2</v>
      </c>
      <c r="D6" s="17"/>
      <c r="E6" s="17"/>
      <c r="F6" s="17"/>
    </row>
    <row r="7" spans="1:6" ht="15.6">
      <c r="A7" s="17">
        <v>6.5</v>
      </c>
      <c r="B7" s="17" t="s">
        <v>93</v>
      </c>
      <c r="C7" s="17">
        <v>2.5</v>
      </c>
      <c r="D7" s="17"/>
      <c r="E7" s="17"/>
      <c r="F7" s="17"/>
    </row>
    <row r="8" spans="1:6" ht="15.6">
      <c r="A8" s="17">
        <v>7</v>
      </c>
      <c r="B8" s="17" t="s">
        <v>94</v>
      </c>
      <c r="C8" s="17">
        <v>3</v>
      </c>
      <c r="D8" s="17"/>
      <c r="E8" s="17"/>
      <c r="F8" s="17"/>
    </row>
    <row r="9" spans="1:6" ht="15.6">
      <c r="A9" s="17">
        <v>8</v>
      </c>
      <c r="B9" s="17" t="s">
        <v>95</v>
      </c>
      <c r="C9" s="17">
        <v>3.5</v>
      </c>
      <c r="D9" s="17"/>
      <c r="E9" s="17"/>
      <c r="F9" s="17"/>
    </row>
    <row r="10" spans="1:6" ht="15.6">
      <c r="A10" s="17">
        <v>9</v>
      </c>
      <c r="B10" s="17" t="s">
        <v>96</v>
      </c>
      <c r="C10" s="17">
        <v>4</v>
      </c>
      <c r="D10" s="17"/>
      <c r="E10" s="17"/>
      <c r="F10" s="17"/>
    </row>
    <row r="11" spans="1:6">
      <c r="A11" s="18"/>
      <c r="B11" s="18"/>
      <c r="C11" s="18"/>
      <c r="D11" s="18"/>
      <c r="E11" s="18"/>
      <c r="F11" s="18"/>
    </row>
    <row r="12" spans="1:6" ht="21">
      <c r="A12" s="27" t="s">
        <v>97</v>
      </c>
      <c r="B12" s="27"/>
      <c r="C12" s="27"/>
      <c r="D12" s="19"/>
      <c r="E12" s="29" t="s">
        <v>101</v>
      </c>
      <c r="F12" s="30"/>
    </row>
    <row r="13" spans="1:6" ht="18">
      <c r="A13" s="21" t="s">
        <v>8</v>
      </c>
      <c r="B13" s="21" t="s">
        <v>9</v>
      </c>
      <c r="C13" s="21" t="s">
        <v>98</v>
      </c>
      <c r="D13" s="20"/>
      <c r="E13" s="21" t="s">
        <v>102</v>
      </c>
      <c r="F13" s="21" t="s">
        <v>103</v>
      </c>
    </row>
    <row r="14" spans="1:6" ht="15.6">
      <c r="A14" s="17" cm="1">
        <f t="array" ref="A14:A27">_xlfn.SEQUENCE(14)</f>
        <v>1</v>
      </c>
      <c r="B14" s="17" t="s">
        <v>42</v>
      </c>
      <c r="C14" s="17" t="s">
        <v>56</v>
      </c>
      <c r="D14" s="17"/>
      <c r="E14" s="17" t="s">
        <v>96</v>
      </c>
      <c r="F14" s="17">
        <f>COUNTIF(tonghopdiem!$K$7:$K$20,E14)</f>
        <v>0</v>
      </c>
    </row>
    <row r="15" spans="1:6" ht="15.6">
      <c r="A15" s="17">
        <v>2</v>
      </c>
      <c r="B15" s="17" t="s">
        <v>46</v>
      </c>
      <c r="C15" s="17" t="s">
        <v>60</v>
      </c>
      <c r="D15" s="17"/>
      <c r="E15" s="17" t="s">
        <v>95</v>
      </c>
      <c r="F15" s="17">
        <f>COUNTIF(tonghopdiem!$K$7:$K$20,E15)</f>
        <v>1</v>
      </c>
    </row>
    <row r="16" spans="1:6" ht="15.6">
      <c r="A16" s="17">
        <v>3</v>
      </c>
      <c r="B16" s="17" t="s">
        <v>47</v>
      </c>
      <c r="C16" s="17" t="s">
        <v>73</v>
      </c>
      <c r="D16" s="17"/>
      <c r="E16" s="17" t="s">
        <v>94</v>
      </c>
      <c r="F16" s="17">
        <f>COUNTIF(tonghopdiem!$K$7:$K$20,E16)</f>
        <v>2</v>
      </c>
    </row>
    <row r="17" spans="1:9" ht="15.6">
      <c r="A17" s="17">
        <v>4</v>
      </c>
      <c r="B17" s="17" t="s">
        <v>45</v>
      </c>
      <c r="C17" s="17" t="s">
        <v>59</v>
      </c>
      <c r="D17" s="17"/>
      <c r="E17" s="17" t="s">
        <v>93</v>
      </c>
      <c r="F17" s="17">
        <f>COUNTIF(tonghopdiem!$K$7:$K$20,E17)</f>
        <v>2</v>
      </c>
    </row>
    <row r="18" spans="1:9" ht="15.6">
      <c r="A18" s="17">
        <v>5</v>
      </c>
      <c r="B18" s="17" t="s">
        <v>43</v>
      </c>
      <c r="C18" s="17" t="s">
        <v>99</v>
      </c>
      <c r="D18" s="17"/>
      <c r="E18" s="17" t="s">
        <v>92</v>
      </c>
      <c r="F18" s="17">
        <f>COUNTIF(tonghopdiem!$K$7:$K$20,E18)</f>
        <v>5</v>
      </c>
    </row>
    <row r="19" spans="1:9" ht="15.6">
      <c r="A19" s="17">
        <v>6</v>
      </c>
      <c r="B19" s="17" t="s">
        <v>40</v>
      </c>
      <c r="C19" s="17" t="s">
        <v>100</v>
      </c>
      <c r="D19" s="17"/>
      <c r="E19" s="17" t="s">
        <v>91</v>
      </c>
      <c r="F19" s="17">
        <f>COUNTIF(tonghopdiem!$K$7:$K$20,E19)</f>
        <v>1</v>
      </c>
    </row>
    <row r="20" spans="1:9" ht="15.6">
      <c r="A20" s="17">
        <v>7</v>
      </c>
      <c r="B20" s="17" t="s">
        <v>49</v>
      </c>
      <c r="C20" s="17" t="s">
        <v>63</v>
      </c>
      <c r="D20" s="17"/>
      <c r="E20" s="17" t="s">
        <v>90</v>
      </c>
      <c r="F20" s="17">
        <f>COUNTIF(tonghopdiem!$K$7:$K$20,E20)</f>
        <v>0</v>
      </c>
      <c r="I20" t="s">
        <v>107</v>
      </c>
    </row>
    <row r="21" spans="1:9" ht="15.6">
      <c r="A21" s="17">
        <v>8</v>
      </c>
      <c r="B21" s="17" t="s">
        <v>52</v>
      </c>
      <c r="C21" s="17" t="s">
        <v>77</v>
      </c>
      <c r="D21" s="17"/>
      <c r="E21" s="17" t="s">
        <v>89</v>
      </c>
      <c r="F21" s="17">
        <f>COUNTIF(tonghopdiem!$K$7:$K$20,E21)</f>
        <v>3</v>
      </c>
    </row>
    <row r="22" spans="1:9" ht="15.6">
      <c r="A22" s="17">
        <v>9</v>
      </c>
      <c r="B22" s="17" t="s">
        <v>50</v>
      </c>
      <c r="C22" s="17" t="s">
        <v>81</v>
      </c>
      <c r="D22" s="17"/>
      <c r="E22" s="17"/>
      <c r="F22" s="17"/>
    </row>
    <row r="23" spans="1:9" ht="18">
      <c r="A23" s="17">
        <v>10</v>
      </c>
      <c r="B23" s="17" t="s">
        <v>41</v>
      </c>
      <c r="C23" s="17" t="s">
        <v>55</v>
      </c>
      <c r="D23" s="17"/>
      <c r="E23" s="31" t="s">
        <v>104</v>
      </c>
      <c r="F23" s="32"/>
    </row>
    <row r="24" spans="1:9" ht="15.6">
      <c r="A24" s="17">
        <v>11</v>
      </c>
      <c r="B24" s="17" t="s">
        <v>48</v>
      </c>
      <c r="C24" s="17" t="s">
        <v>62</v>
      </c>
      <c r="D24" s="17"/>
      <c r="E24" s="33" t="s">
        <v>108</v>
      </c>
      <c r="F24" s="25">
        <f>COUNTIF(tonghopdiem!$G$7:$G$20,0)+COUNTIF(tonghopdiem!$H$7:$H$20,-3)-COUNTIFS(tonghopdiem!$G$7:$G$20,0,tonghopdiem!$H$7:$H$20, -3)</f>
        <v>3</v>
      </c>
    </row>
    <row r="25" spans="1:9" ht="15.6">
      <c r="A25" s="17">
        <v>12</v>
      </c>
      <c r="B25" s="17" t="s">
        <v>39</v>
      </c>
      <c r="C25" s="17" t="s">
        <v>69</v>
      </c>
      <c r="D25" s="17"/>
      <c r="E25" s="34"/>
      <c r="F25" s="26"/>
    </row>
    <row r="26" spans="1:9" ht="15.6">
      <c r="A26" s="17">
        <v>13</v>
      </c>
      <c r="B26" s="17" t="s">
        <v>44</v>
      </c>
      <c r="C26" s="17" t="s">
        <v>71</v>
      </c>
      <c r="D26" s="17"/>
      <c r="E26" s="23" t="s">
        <v>105</v>
      </c>
      <c r="F26" s="25">
        <f>COUNTIFS(tonghopdiem!$J$7:$J$20,"&gt;=7",tonghopdiem!$K$7:$K$20,"A")+COUNTIFS(tonghopdiem!$J$7:$J$20,"&gt;=7",tonghopdiem!$K$7:$K$20,"B+")</f>
        <v>1</v>
      </c>
    </row>
    <row r="27" spans="1:9" ht="15.6">
      <c r="A27" s="17">
        <v>14</v>
      </c>
      <c r="B27" s="17" t="s">
        <v>51</v>
      </c>
      <c r="C27" s="17" t="s">
        <v>65</v>
      </c>
      <c r="D27" s="17"/>
      <c r="E27" s="24"/>
      <c r="F27" s="26"/>
    </row>
  </sheetData>
  <mergeCells count="9">
    <mergeCell ref="E26:E27"/>
    <mergeCell ref="F26:F27"/>
    <mergeCell ref="A1:C1"/>
    <mergeCell ref="E1:F1"/>
    <mergeCell ref="A12:C12"/>
    <mergeCell ref="E12:F12"/>
    <mergeCell ref="E23:F23"/>
    <mergeCell ref="E24:E25"/>
    <mergeCell ref="F24:F2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F3E97-0CFA-41F5-AFBB-399B06AD966E}">
  <dimension ref="A1:K12"/>
  <sheetViews>
    <sheetView workbookViewId="0">
      <selection sqref="A1:K12"/>
    </sheetView>
  </sheetViews>
  <sheetFormatPr defaultRowHeight="14.4"/>
  <cols>
    <col min="2" max="2" width="14.44140625" customWidth="1"/>
    <col min="3" max="3" width="19.33203125" customWidth="1"/>
  </cols>
  <sheetData>
    <row r="1" spans="1:11" ht="78">
      <c r="A1" s="11" t="s">
        <v>8</v>
      </c>
      <c r="B1" s="11" t="s">
        <v>9</v>
      </c>
      <c r="C1" s="11" t="s">
        <v>10</v>
      </c>
      <c r="D1" s="12" t="s">
        <v>11</v>
      </c>
      <c r="E1" s="12" t="s">
        <v>12</v>
      </c>
      <c r="F1" s="12" t="s">
        <v>13</v>
      </c>
      <c r="G1" s="12" t="s">
        <v>14</v>
      </c>
      <c r="H1" s="12" t="s">
        <v>15</v>
      </c>
      <c r="I1" s="12" t="s">
        <v>16</v>
      </c>
      <c r="J1" s="12" t="s">
        <v>17</v>
      </c>
      <c r="K1" s="12" t="s">
        <v>18</v>
      </c>
    </row>
    <row r="2" spans="1:11">
      <c r="A2" s="2">
        <v>1</v>
      </c>
      <c r="B2" s="2" t="s">
        <v>19</v>
      </c>
      <c r="C2" s="2" t="s">
        <v>69</v>
      </c>
      <c r="D2" s="2">
        <v>0.45</v>
      </c>
      <c r="E2" s="2">
        <v>0.25</v>
      </c>
      <c r="F2" s="2">
        <v>0.3</v>
      </c>
      <c r="G2" s="2">
        <v>0.5</v>
      </c>
      <c r="H2" s="2">
        <v>4.2</v>
      </c>
      <c r="I2" s="2">
        <v>4</v>
      </c>
      <c r="J2" s="5">
        <v>5</v>
      </c>
      <c r="K2" s="5" t="s">
        <v>91</v>
      </c>
    </row>
    <row r="3" spans="1:11">
      <c r="A3" s="2">
        <v>2</v>
      </c>
      <c r="B3" s="2" t="s">
        <v>20</v>
      </c>
      <c r="C3" s="2" t="s">
        <v>100</v>
      </c>
      <c r="D3" s="2">
        <v>0.5</v>
      </c>
      <c r="E3" s="2">
        <v>0.35</v>
      </c>
      <c r="F3" s="2">
        <v>0.4</v>
      </c>
      <c r="G3" s="2">
        <v>1</v>
      </c>
      <c r="H3" s="2">
        <v>5.8</v>
      </c>
      <c r="I3" s="2">
        <v>5.7</v>
      </c>
      <c r="J3" s="5">
        <v>6.2</v>
      </c>
      <c r="K3" s="5" t="s">
        <v>92</v>
      </c>
    </row>
    <row r="4" spans="1:11">
      <c r="A4" s="2">
        <v>3</v>
      </c>
      <c r="B4" s="2" t="s">
        <v>106</v>
      </c>
      <c r="C4" s="2" t="s">
        <v>55</v>
      </c>
      <c r="D4" s="2">
        <v>0.25</v>
      </c>
      <c r="E4" s="2">
        <v>0.25</v>
      </c>
      <c r="F4" s="2">
        <v>0.3</v>
      </c>
      <c r="G4" s="2">
        <v>0.5</v>
      </c>
      <c r="H4" s="2">
        <v>5.8</v>
      </c>
      <c r="I4" s="2">
        <v>4.8</v>
      </c>
      <c r="J4" s="5">
        <v>5.8</v>
      </c>
      <c r="K4" s="5" t="s">
        <v>92</v>
      </c>
    </row>
    <row r="5" spans="1:11">
      <c r="A5" s="2">
        <v>4</v>
      </c>
      <c r="B5" s="2" t="s">
        <v>21</v>
      </c>
      <c r="C5" s="2" t="s">
        <v>56</v>
      </c>
      <c r="D5" s="2">
        <v>0.4</v>
      </c>
      <c r="E5" s="2">
        <v>0.25</v>
      </c>
      <c r="F5" s="2">
        <v>0.35</v>
      </c>
      <c r="G5" s="2">
        <v>1</v>
      </c>
      <c r="H5" s="2">
        <v>4.5</v>
      </c>
      <c r="I5" s="2">
        <v>4.7</v>
      </c>
      <c r="J5" s="5">
        <v>5.7</v>
      </c>
      <c r="K5" s="5" t="s">
        <v>92</v>
      </c>
    </row>
    <row r="6" spans="1:11">
      <c r="A6" s="2">
        <v>5</v>
      </c>
      <c r="B6" s="2" t="s">
        <v>31</v>
      </c>
      <c r="C6" s="2" t="s">
        <v>99</v>
      </c>
      <c r="D6" s="2">
        <v>0.45</v>
      </c>
      <c r="E6" s="2">
        <v>0.4</v>
      </c>
      <c r="F6" s="2">
        <v>0.35</v>
      </c>
      <c r="G6" s="2">
        <v>0.75</v>
      </c>
      <c r="H6" s="2">
        <v>5.5</v>
      </c>
      <c r="I6" s="2">
        <v>5.3</v>
      </c>
      <c r="J6" s="5">
        <v>5.6</v>
      </c>
      <c r="K6" s="5" t="s">
        <v>92</v>
      </c>
    </row>
    <row r="7" spans="1:11">
      <c r="A7" s="2">
        <v>7</v>
      </c>
      <c r="B7" s="2" t="s">
        <v>23</v>
      </c>
      <c r="C7" s="2" t="s">
        <v>59</v>
      </c>
      <c r="D7" s="2">
        <v>0.4</v>
      </c>
      <c r="E7" s="2">
        <v>0.4</v>
      </c>
      <c r="F7" s="2">
        <v>0.4</v>
      </c>
      <c r="G7" s="2">
        <v>1</v>
      </c>
      <c r="H7" s="2">
        <v>5.3</v>
      </c>
      <c r="I7" s="2">
        <v>5.4</v>
      </c>
      <c r="J7" s="5">
        <v>6.4</v>
      </c>
      <c r="K7" s="5" t="s">
        <v>92</v>
      </c>
    </row>
    <row r="8" spans="1:11">
      <c r="A8" s="2">
        <v>8</v>
      </c>
      <c r="B8" s="2" t="s">
        <v>24</v>
      </c>
      <c r="C8" s="2" t="s">
        <v>60</v>
      </c>
      <c r="D8" s="2">
        <v>0.45</v>
      </c>
      <c r="E8" s="2">
        <v>0.4</v>
      </c>
      <c r="F8" s="2">
        <v>0.45</v>
      </c>
      <c r="G8" s="2">
        <v>0</v>
      </c>
      <c r="H8" s="2">
        <v>6.8</v>
      </c>
      <c r="I8" s="2">
        <v>5.4</v>
      </c>
      <c r="J8" s="5">
        <v>0</v>
      </c>
      <c r="K8" s="5" t="s">
        <v>89</v>
      </c>
    </row>
    <row r="9" spans="1:11">
      <c r="A9" s="2">
        <v>9</v>
      </c>
      <c r="B9" s="2" t="s">
        <v>25</v>
      </c>
      <c r="C9" s="2" t="s">
        <v>73</v>
      </c>
      <c r="D9" s="2">
        <v>0.45</v>
      </c>
      <c r="E9" s="2">
        <v>0.4</v>
      </c>
      <c r="F9" s="2">
        <v>0.4</v>
      </c>
      <c r="G9" s="2">
        <v>0.75</v>
      </c>
      <c r="H9" s="2">
        <v>6.3</v>
      </c>
      <c r="I9" s="2">
        <v>5.8</v>
      </c>
      <c r="J9" s="5">
        <v>6.8</v>
      </c>
      <c r="K9" s="5" t="s">
        <v>93</v>
      </c>
    </row>
    <row r="10" spans="1:11">
      <c r="A10" s="2">
        <v>11</v>
      </c>
      <c r="B10" s="2" t="s">
        <v>27</v>
      </c>
      <c r="C10" s="2" t="s">
        <v>63</v>
      </c>
      <c r="D10" s="2">
        <v>0.4</v>
      </c>
      <c r="E10" s="2">
        <v>0.45</v>
      </c>
      <c r="F10" s="2">
        <v>0.4</v>
      </c>
      <c r="G10" s="2">
        <v>0.3</v>
      </c>
      <c r="H10" s="2">
        <v>-3</v>
      </c>
      <c r="I10" s="2">
        <v>0</v>
      </c>
      <c r="J10" s="5">
        <v>0</v>
      </c>
      <c r="K10" s="5" t="s">
        <v>89</v>
      </c>
    </row>
    <row r="11" spans="1:11">
      <c r="A11" s="2">
        <v>13</v>
      </c>
      <c r="B11" s="2" t="s">
        <v>29</v>
      </c>
      <c r="C11" s="2" t="s">
        <v>65</v>
      </c>
      <c r="D11" s="2">
        <v>0.4</v>
      </c>
      <c r="E11" s="2">
        <v>0.4</v>
      </c>
      <c r="F11" s="2">
        <v>0.35</v>
      </c>
      <c r="G11" s="2">
        <v>1.35</v>
      </c>
      <c r="H11" s="2">
        <v>-3</v>
      </c>
      <c r="I11" s="2">
        <v>0</v>
      </c>
      <c r="J11" s="5">
        <v>0</v>
      </c>
      <c r="K11" s="5" t="s">
        <v>89</v>
      </c>
    </row>
    <row r="12" spans="1:11">
      <c r="A12" s="2">
        <v>14</v>
      </c>
      <c r="B12" s="2" t="s">
        <v>30</v>
      </c>
      <c r="C12" s="2" t="s">
        <v>77</v>
      </c>
      <c r="D12" s="2">
        <v>0.35</v>
      </c>
      <c r="E12" s="2">
        <v>0.4</v>
      </c>
      <c r="F12" s="2">
        <v>0</v>
      </c>
      <c r="G12" s="2">
        <v>0.85</v>
      </c>
      <c r="H12" s="2">
        <v>6.5</v>
      </c>
      <c r="I12" s="2">
        <v>5.5</v>
      </c>
      <c r="J12" s="5">
        <v>6.5</v>
      </c>
      <c r="K12" s="5" t="s">
        <v>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26071-23AA-4966-AF76-A6AE09400BE5}">
  <dimension ref="A1:K2"/>
  <sheetViews>
    <sheetView workbookViewId="0">
      <selection activeCell="H5" sqref="H5"/>
    </sheetView>
  </sheetViews>
  <sheetFormatPr defaultRowHeight="14.4"/>
  <sheetData>
    <row r="1" spans="1:11" ht="78">
      <c r="A1" s="11" t="s">
        <v>8</v>
      </c>
      <c r="B1" s="11" t="s">
        <v>9</v>
      </c>
      <c r="C1" s="11" t="s">
        <v>10</v>
      </c>
      <c r="D1" s="12" t="s">
        <v>11</v>
      </c>
      <c r="E1" s="12" t="s">
        <v>12</v>
      </c>
      <c r="F1" s="12" t="s">
        <v>13</v>
      </c>
      <c r="G1" s="12" t="s">
        <v>14</v>
      </c>
      <c r="H1" s="12" t="s">
        <v>15</v>
      </c>
      <c r="I1" s="12" t="s">
        <v>16</v>
      </c>
      <c r="J1" s="12" t="s">
        <v>17</v>
      </c>
      <c r="K1" s="12" t="s">
        <v>18</v>
      </c>
    </row>
    <row r="2" spans="1:11">
      <c r="A2" s="2">
        <v>6</v>
      </c>
      <c r="B2" s="2" t="s">
        <v>22</v>
      </c>
      <c r="C2" s="2" t="s">
        <v>71</v>
      </c>
      <c r="D2" s="2">
        <v>0.4</v>
      </c>
      <c r="E2" s="2">
        <v>0.45</v>
      </c>
      <c r="F2" s="2">
        <v>0.5</v>
      </c>
      <c r="G2" s="2">
        <v>1.2</v>
      </c>
      <c r="H2" s="2">
        <v>7.5</v>
      </c>
      <c r="I2" s="2">
        <v>7.1</v>
      </c>
      <c r="J2" s="5">
        <v>8.1</v>
      </c>
      <c r="K2" s="5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tonghopdiem</vt:lpstr>
      <vt:lpstr>diemthuchanh</vt:lpstr>
      <vt:lpstr>diembaitaplon</vt:lpstr>
      <vt:lpstr>diemlythuyet</vt:lpstr>
      <vt:lpstr>bangthamchieu&amp;thongke</vt:lpstr>
      <vt:lpstr>Sinh Viên điểm &lt;7</vt:lpstr>
      <vt:lpstr>Sinh Viên điểm &gt;=7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Huynh Dinh Hoang Linh - B2604654</dc:creator>
  <cp:lastModifiedBy>Huynh Dinh Hoang Linh - B2604654</cp:lastModifiedBy>
  <dcterms:created xsi:type="dcterms:W3CDTF">2026-09-25T19:51:42Z</dcterms:created>
  <dcterms:modified xsi:type="dcterms:W3CDTF">2026-09-25T21:41:40Z</dcterms:modified>
</cp:coreProperties>
</file>